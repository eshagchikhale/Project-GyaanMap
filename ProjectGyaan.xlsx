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28b962c9e278ce4/Desktop/"/>
    </mc:Choice>
  </mc:AlternateContent>
  <xr:revisionPtr revIDLastSave="1" documentId="14_{F841E7D4-0D86-43CA-951E-0A671D1A3A05}" xr6:coauthVersionLast="47" xr6:coauthVersionMax="47" xr10:uidLastSave="{B4AFE9F3-D0C1-4002-BE91-3D1752926C22}"/>
  <bookViews>
    <workbookView xWindow="24" yWindow="24" windowWidth="23016" windowHeight="12216" xr2:uid="{00000000-000D-0000-FFFF-FFFF00000000}"/>
  </bookViews>
  <sheets>
    <sheet name="Form Responses 2" sheetId="1" r:id="rId1"/>
    <sheet name="Form Responses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2" i="1" l="1" a="1"/>
  <c r="BH2" i="1" s="1"/>
  <c r="BH3" i="1" a="1"/>
  <c r="BH3" i="1" s="1"/>
  <c r="BH4" i="1" a="1"/>
  <c r="BH4" i="1" s="1"/>
  <c r="BH5" i="1" a="1"/>
  <c r="BH5" i="1" s="1"/>
  <c r="BH6" i="1" a="1"/>
  <c r="BH6" i="1" s="1"/>
  <c r="BH7" i="1" a="1"/>
  <c r="BH7" i="1" s="1"/>
  <c r="BH8" i="1" a="1"/>
  <c r="BH8" i="1" s="1"/>
  <c r="BH9" i="1" a="1"/>
  <c r="BH9" i="1" s="1"/>
  <c r="BH10" i="1" a="1"/>
  <c r="BH10" i="1" s="1"/>
  <c r="BH11" i="1" a="1"/>
  <c r="BH11" i="1" s="1"/>
  <c r="B3" i="1"/>
  <c r="B4" i="1"/>
  <c r="B5" i="1"/>
  <c r="B6" i="1"/>
  <c r="B7" i="1"/>
  <c r="B8" i="1"/>
  <c r="B9" i="1"/>
  <c r="B10" i="1"/>
  <c r="B11" i="1"/>
  <c r="B2" i="1"/>
  <c r="BG2" i="1"/>
  <c r="BG3" i="1"/>
  <c r="BG4" i="1"/>
  <c r="BG5" i="1"/>
  <c r="BG6" i="1"/>
  <c r="BG7" i="1"/>
  <c r="BG8" i="1"/>
  <c r="BG9" i="1"/>
  <c r="BG10" i="1"/>
  <c r="BG11" i="1"/>
  <c r="BF2" i="1"/>
  <c r="BF3" i="1"/>
  <c r="BF4" i="1"/>
  <c r="BF5" i="1"/>
  <c r="BF6" i="1"/>
  <c r="BF7" i="1"/>
  <c r="BF8" i="1"/>
  <c r="BF9" i="1"/>
  <c r="BF10" i="1"/>
  <c r="BF11" i="1"/>
  <c r="BE2" i="1"/>
  <c r="BE3" i="1"/>
  <c r="BE4" i="1"/>
  <c r="BE5" i="1"/>
  <c r="BE6" i="1"/>
  <c r="BE7" i="1"/>
  <c r="BE8" i="1"/>
  <c r="BE9" i="1"/>
  <c r="BE10" i="1"/>
  <c r="BE11" i="1"/>
  <c r="BD2" i="1"/>
  <c r="BD3" i="1"/>
  <c r="BD4" i="1"/>
  <c r="BD5" i="1"/>
  <c r="BD6" i="1"/>
  <c r="BD7" i="1"/>
  <c r="BD8" i="1"/>
  <c r="BD9" i="1"/>
  <c r="BD10" i="1"/>
  <c r="BD11" i="1"/>
  <c r="BC2" i="1"/>
  <c r="BC3" i="1"/>
  <c r="BC4" i="1"/>
  <c r="BC5" i="1"/>
  <c r="BC6" i="1"/>
  <c r="BC7" i="1"/>
  <c r="BC8" i="1"/>
  <c r="BC9" i="1"/>
  <c r="BC10" i="1"/>
  <c r="BC11" i="1"/>
  <c r="BB2" i="1"/>
  <c r="BB3" i="1"/>
  <c r="BB4" i="1"/>
  <c r="BB5" i="1"/>
  <c r="BB6" i="1"/>
  <c r="BB7" i="1"/>
  <c r="BB8" i="1"/>
  <c r="BB9" i="1"/>
  <c r="BB10" i="1"/>
  <c r="BB11" i="1"/>
  <c r="BA2" i="1"/>
  <c r="BA3" i="1"/>
  <c r="BA4" i="1"/>
  <c r="BA5" i="1"/>
  <c r="BA6" i="1"/>
  <c r="BA7" i="1"/>
  <c r="BA8" i="1"/>
  <c r="BA9" i="1"/>
  <c r="BA10" i="1"/>
  <c r="BA11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A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<sst xmlns="http://schemas.openxmlformats.org/spreadsheetml/2006/main" count="393" uniqueCount="81">
  <si>
    <t xml:space="preserve">Individuals </t>
  </si>
  <si>
    <t>Score</t>
  </si>
  <si>
    <t>I enjoy configuring systems, servers, or technical setups.</t>
  </si>
  <si>
    <t>I like working with hardware, networking, or infrastructure.</t>
  </si>
  <si>
    <t>I prefer hands-on technical work rather than theory</t>
  </si>
  <si>
    <t>I enjoy fixing system-level or deployment-related issues</t>
  </si>
  <si>
    <t>I enjoy solving logical or algorithmic problems</t>
  </si>
  <si>
    <t>I like analyzing data to find insights or patterns.</t>
  </si>
  <si>
    <t>I enjoy understanding how software systems work internally</t>
  </si>
  <si>
    <t>I like debugging complex problems that require deep thinking</t>
  </si>
  <si>
    <t>I enjoy designing user interfaces or web layouts.</t>
  </si>
  <si>
    <t>I care about how applications look and feel to users</t>
  </si>
  <si>
    <t>I enjoy combining creativity with technology</t>
  </si>
  <si>
    <t>I like frontend development or visual design tasks</t>
  </si>
  <si>
    <t>I enjoy helping others understand technical concepts</t>
  </si>
  <si>
    <t>I like teaching or mentoring others in technology.</t>
  </si>
  <si>
    <t>I enjoy working closely with users or clients.</t>
  </si>
  <si>
    <t>I like explaining technical ideas in simple language</t>
  </si>
  <si>
    <t>I enjoy leading technical or software projects.</t>
  </si>
  <si>
    <t>I like making decisions that affect a team or product</t>
  </si>
  <si>
    <t>I enjoy coordinating between technical and business teams</t>
  </si>
  <si>
    <t>I am interested in roles like Product Manager or Tech Lead.</t>
  </si>
  <si>
    <t>I like working in structured and well-defined environments</t>
  </si>
  <si>
    <t>I enjoy documentation, testing, or database-related tasks.</t>
  </si>
  <si>
    <t>I like following processes and maintaining accuracy.</t>
  </si>
  <si>
    <t>I enjoy roles that require consistency and attention to detail.</t>
  </si>
  <si>
    <t>Agree</t>
  </si>
  <si>
    <t>Strongly Agree</t>
  </si>
  <si>
    <t>Disagree</t>
  </si>
  <si>
    <t>Neutral</t>
  </si>
  <si>
    <t>Strongly Disagree</t>
  </si>
  <si>
    <t>Timestamp</t>
  </si>
  <si>
    <t>Column 2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</si>
  <si>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</si>
  <si>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</si>
  <si>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</si>
  <si>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</si>
  <si>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</si>
  <si>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</si>
  <si>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</si>
  <si>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</si>
  <si>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</si>
  <si>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</si>
  <si>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</si>
  <si>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</si>
  <si>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</si>
  <si>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</si>
  <si>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Responses</t>
  </si>
  <si>
    <t>4</t>
  </si>
  <si>
    <t>0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</si>
  <si>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</si>
  <si>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</si>
  <si>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</si>
  <si>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</si>
  <si>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</si>
  <si>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</si>
  <si>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</si>
  <si>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</si>
  <si>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</si>
  <si>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</si>
  <si>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</si>
  <si>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</si>
  <si>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</si>
  <si>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</si>
  <si>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</si>
  <si>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</si>
  <si>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</si>
  <si>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</si>
  <si>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</si>
  <si>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</si>
  <si>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</si>
  <si>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</si>
  <si>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</si>
  <si>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R</t>
  </si>
  <si>
    <t>I</t>
  </si>
  <si>
    <t>A</t>
  </si>
  <si>
    <t>S</t>
  </si>
  <si>
    <t>E</t>
  </si>
  <si>
    <t>C</t>
  </si>
  <si>
    <t>Average Score</t>
  </si>
  <si>
    <t>Dominant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</si>
</sst>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2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Form Responses 1-style" pivot="0" count="4" xr9:uid="{00000000-0011-0000-FFFF-FFFF01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BH11">
  <tableColumns count="60">
    <tableColumn id="1" xr3:uid="{00000000-0010-0000-0000-000001000000}" name="Individuals "/>
    <tableColumn id="2" xr3:uid="{00000000-0010-0000-0000-000002000000}" name="Average Score">
      <calculatedColumnFormula>AVERAGE(AC2:AZ2)</calculatedColumnFormula>
    </tableColumn>
    <tableColumn id="3" xr3:uid="{00000000-0010-0000-0000-000003000000}" name="I enjoy configuring systems, servers, or technical setups."/>
    <tableColumn id="4" xr3:uid="{00000000-0010-0000-0000-000004000000}" name="I like working with hardware, networking, or infrastructure."/>
    <tableColumn id="5" xr3:uid="{00000000-0010-0000-0000-000005000000}" name="I prefer hands-on technical work rather than theory"/>
    <tableColumn id="6" xr3:uid="{00000000-0010-0000-0000-000006000000}" name="I enjoy fixing system-level or deployment-related issues"/>
    <tableColumn id="7" xr3:uid="{00000000-0010-0000-0000-000007000000}" name="I enjoy solving logical or algorithmic problems"/>
    <tableColumn id="8" xr3:uid="{00000000-0010-0000-0000-000008000000}" name="I like analyzing data to find insights or patterns."/>
    <tableColumn id="9" xr3:uid="{00000000-0010-0000-0000-000009000000}" name="I enjoy understanding how software systems work internally"/>
    <tableColumn id="10" xr3:uid="{00000000-0010-0000-0000-00000A000000}" name="I like debugging complex problems that require deep thinking"/>
    <tableColumn id="11" xr3:uid="{00000000-0010-0000-0000-00000B000000}" name="I enjoy designing user interfaces or web layouts."/>
    <tableColumn id="12" xr3:uid="{00000000-0010-0000-0000-00000C000000}" name="I care about how applications look and feel to users"/>
    <tableColumn id="13" xr3:uid="{00000000-0010-0000-0000-00000D000000}" name="I enjoy combining creativity with technology"/>
    <tableColumn id="14" xr3:uid="{00000000-0010-0000-0000-00000E000000}" name="I like frontend development or visual design tasks"/>
    <tableColumn id="15" xr3:uid="{00000000-0010-0000-0000-00000F000000}" name="I enjoy helping others understand technical concepts"/>
    <tableColumn id="16" xr3:uid="{00000000-0010-0000-0000-000010000000}" name="I like teaching or mentoring others in technology."/>
    <tableColumn id="17" xr3:uid="{00000000-0010-0000-0000-000011000000}" name="I enjoy working closely with users or clients."/>
    <tableColumn id="18" xr3:uid="{00000000-0010-0000-0000-000012000000}" name="I like explaining technical ideas in simple language"/>
    <tableColumn id="19" xr3:uid="{00000000-0010-0000-0000-000013000000}" name="I enjoy leading technical or software projects."/>
    <tableColumn id="20" xr3:uid="{00000000-0010-0000-0000-000014000000}" name="I like making decisions that affect a team or product"/>
    <tableColumn id="21" xr3:uid="{00000000-0010-0000-0000-000015000000}" name="I enjoy coordinating between technical and business teams"/>
    <tableColumn id="22" xr3:uid="{00000000-0010-0000-0000-000016000000}" name="I am interested in roles like Product Manager or Tech Lead."/>
    <tableColumn id="23" xr3:uid="{00000000-0010-0000-0000-000017000000}" name="I like working in structured and well-defined environments"/>
    <tableColumn id="24" xr3:uid="{00000000-0010-0000-0000-000018000000}" name="I enjoy documentation, testing, or database-related tasks."/>
    <tableColumn id="25" xr3:uid="{00000000-0010-0000-0000-000019000000}" name="I like following processes and maintaining accuracy."/>
    <tableColumn id="26" xr3:uid="{00000000-0010-0000-0000-00001A000000}" name="I enjoy roles that require consistency and attention to detail."/>
    <tableColumn id="27" xr3:uid="{378496CD-15BE-410C-B551-E220FEF2AFAF}" name="Responses"/>
    <tableColumn id="28" xr3:uid="{9D1DF462-A12E-409B-A854-BE1C716F3AFE}" name="Score"/>
    <tableColumn id="29" xr3:uid="{12029488-E2FE-4A12-9D2D-645585EB1562}" name="0" dataDxfId="8">
      <calculatedColumnFormula>_xlfn.XLOOKUP(TRIM(C2),$AA$2:$AA$6,$AB$2:$AB$6)</calculatedColumnFormula>
    </tableColumn>
    <tableColumn id="30" xr3:uid="{483BBC17-0C84-4BDC-8C6F-DE715DFFA913}" name="1">
      <calculatedColumnFormula>_xlfn.XLOOKUP(TRIM(D2),$AA$2:$AA$6,$AB$2:$AB$6)</calculatedColumnFormula>
    </tableColumn>
    <tableColumn id="31" xr3:uid="{054E0BCF-8AE9-4812-B489-861B9453CA18}" name="2">
      <calculatedColumnFormula>_xlfn.XLOOKUP(TRIM(E2),$AA$2:$AA$6,$AB$2:$AB$6)</calculatedColumnFormula>
    </tableColumn>
    <tableColumn id="32" xr3:uid="{DF26E461-6E61-44B5-BAB1-3BCD170860FE}" name="3">
      <calculatedColumnFormula>_xlfn.XLOOKUP(TRIM(F2),$AA$2:$AA$6,$AB$2:$AB$6)</calculatedColumnFormula>
    </tableColumn>
    <tableColumn id="33" xr3:uid="{FD6A0F31-F131-42E3-8AD2-1F3AD3B94FE8}" name="4">
      <calculatedColumnFormula>_xlfn.XLOOKUP(TRIM(G2),$AA$2:$AA$6,$AB$2:$AB$6)</calculatedColumnFormula>
    </tableColumn>
    <tableColumn id="34" xr3:uid="{9768F11C-83C5-408C-8E30-7FD2453E381D}" name="5">
      <calculatedColumnFormula>_xlfn.XLOOKUP(TRIM(H2),$AA$2:$AA$6,$AB$2:$AB$6)</calculatedColumnFormula>
    </tableColumn>
    <tableColumn id="35" xr3:uid="{E0F08B90-369C-4EE6-AD2F-6E65777C0E55}" name="6">
      <calculatedColumnFormula>_xlfn.XLOOKUP(TRIM(I2),$AA$2:$AA$6,$AB$2:$AB$6)</calculatedColumnFormula>
    </tableColumn>
    <tableColumn id="36" xr3:uid="{66A9F985-2EAF-40F5-A49B-B8CFBB0FDEB0}" name="7">
      <calculatedColumnFormula>_xlfn.XLOOKUP(TRIM(J2),$AA$2:$AA$6,$AB$2:$AB$6)</calculatedColumnFormula>
    </tableColumn>
    <tableColumn id="37" xr3:uid="{AE809305-D0D8-41F7-8545-DC9E4AC6AED7}" name="8">
      <calculatedColumnFormula>_xlfn.XLOOKUP(TRIM(K2),$AA$2:$AA$6,$AB$2:$AB$6)</calculatedColumnFormula>
    </tableColumn>
    <tableColumn id="38" xr3:uid="{AFBA1DC1-DE94-4DAD-B3D3-717D8573198B}" name="9">
      <calculatedColumnFormula>_xlfn.XLOOKUP(TRIM(L2),$AA$2:$AA$6,$AB$2:$AB$6)</calculatedColumnFormula>
    </tableColumn>
    <tableColumn id="39" xr3:uid="{A8C815AA-018C-4812-B57B-4CC5BE5E5EC2}" name="10">
      <calculatedColumnFormula>_xlfn.XLOOKUP(TRIM(M2),$AA$2:$AA$6,$AB$2:$AB$6)</calculatedColumnFormula>
    </tableColumn>
    <tableColumn id="40" xr3:uid="{33418A13-4B0C-4E57-A146-972EBEF199BF}" name="11">
      <calculatedColumnFormula>_xlfn.XLOOKUP(TRIM(N2),$AA$2:$AA$6,$AB$2:$AB$6)</calculatedColumnFormula>
    </tableColumn>
    <tableColumn id="41" xr3:uid="{6915F290-605B-4AE8-9BC6-610BA712A8EF}" name="12">
      <calculatedColumnFormula>_xlfn.XLOOKUP(TRIM(O2),$AA$2:$AA$6,$AB$2:$AB$6)</calculatedColumnFormula>
    </tableColumn>
    <tableColumn id="42" xr3:uid="{19D170B3-6883-4914-B132-0B0C3E64197D}" name="13">
      <calculatedColumnFormula>_xlfn.XLOOKUP(TRIM(P2),$AA$2:$AA$6,$AB$2:$AB$6)</calculatedColumnFormula>
    </tableColumn>
    <tableColumn id="43" xr3:uid="{73F48E08-3E06-49B1-9C8D-5F16B9418E70}" name="14">
      <calculatedColumnFormula>_xlfn.XLOOKUP(TRIM(Q2),$AA$2:$AA$6,$AB$2:$AB$6)</calculatedColumnFormula>
    </tableColumn>
    <tableColumn id="44" xr3:uid="{67AE012C-E2A6-4C85-BD78-1675E39A1F4B}" name="15">
      <calculatedColumnFormula>_xlfn.XLOOKUP(TRIM(R2),$AA$2:$AA$6,$AB$2:$AB$6)</calculatedColumnFormula>
    </tableColumn>
    <tableColumn id="45" xr3:uid="{5A3140BB-2312-4627-9908-47030ED16450}" name="16">
      <calculatedColumnFormula>_xlfn.XLOOKUP(TRIM(S2),$AA$2:$AA$6,$AB$2:$AB$6)</calculatedColumnFormula>
    </tableColumn>
    <tableColumn id="46" xr3:uid="{02D24518-261E-4922-9600-BF4DDA175D61}" name="17">
      <calculatedColumnFormula>_xlfn.XLOOKUP(TRIM(T2),$AA$2:$AA$6,$AB$2:$AB$6)</calculatedColumnFormula>
    </tableColumn>
    <tableColumn id="47" xr3:uid="{BA9D7A52-EA47-4966-BA12-25935B695C14}" name="18">
      <calculatedColumnFormula>_xlfn.XLOOKUP(TRIM(U2),$AA$2:$AA$6,$AB$2:$AB$6)</calculatedColumnFormula>
    </tableColumn>
    <tableColumn id="48" xr3:uid="{4D324653-0933-4389-828E-4B153195D769}" name="19">
      <calculatedColumnFormula>_xlfn.XLOOKUP(TRIM(V2),$AA$2:$AA$6,$AB$2:$AB$6)</calculatedColumnFormula>
    </tableColumn>
    <tableColumn id="49" xr3:uid="{C01FE284-E766-4B9B-A8AA-1CB6DDD09D81}" name="20">
      <calculatedColumnFormula>_xlfn.XLOOKUP(TRIM(W2),$AA$2:$AA$6,$AB$2:$AB$6)</calculatedColumnFormula>
    </tableColumn>
    <tableColumn id="50" xr3:uid="{25ECCBC4-6605-4189-ABF1-80D11861EE73}" name="21">
      <calculatedColumnFormula>_xlfn.XLOOKUP(TRIM(X2),$AA$2:$AA$6,$AB$2:$AB$6)</calculatedColumnFormula>
    </tableColumn>
    <tableColumn id="51" xr3:uid="{137EFA29-4041-45F3-B328-6F166A08E403}" name="22">
      <calculatedColumnFormula>_xlfn.XLOOKUP(TRIM(Y2),$AA$2:$AA$6,$AB$2:$AB$6)</calculatedColumnFormula>
    </tableColumn>
    <tableColumn id="52" xr3:uid="{65F6739A-87AC-4640-8408-1D1806CF0F68}" name="23">
      <calculatedColumnFormula>_xlfn.XLOOKUP(TRIM(Z2),$AA$2:$AA$6,$AB$2:$AB$6)</calculatedColumnFormula>
    </tableColumn>
    <tableColumn id="53" xr3:uid="{0A8FE398-D963-401D-8A04-142CB6FAE02D}" name="24" dataDxfId="7">
      <calculatedColumnFormula>IFERROR(_xlfn.XLOOKUP(TRIM(AA2),$AA$2:$AA$6,$AB$2:$AB$6)," ")</calculatedColumnFormula>
    </tableColumn>
    <tableColumn id="54" xr3:uid="{1E77438F-9696-46A7-AAB1-63AA8A2A120E}" name="R" dataDxfId="6">
      <calculatedColumnFormula>AVERAGE(AC2:AF2)</calculatedColumnFormula>
    </tableColumn>
    <tableColumn id="55" xr3:uid="{EAE456D5-3990-4E0D-8157-5883CA449EF1}" name="I" dataDxfId="5">
      <calculatedColumnFormula>AVERAGE(AG2:AJ2)</calculatedColumnFormula>
    </tableColumn>
    <tableColumn id="56" xr3:uid="{786C3321-5C4A-4067-9FBB-BE853515DEC0}" name="A" dataDxfId="4">
      <calculatedColumnFormula>AVERAGE(AK2:AN2)</calculatedColumnFormula>
    </tableColumn>
    <tableColumn id="57" xr3:uid="{6C6D20BA-7554-46AF-B71D-BEF607476971}" name="S" dataDxfId="3">
      <calculatedColumnFormula>AVERAGE(AO2:AR2)</calculatedColumnFormula>
    </tableColumn>
    <tableColumn id="58" xr3:uid="{6724EBBE-8A5A-46F9-8A63-827B1AEB664F}" name="E" dataDxfId="2">
      <calculatedColumnFormula>AVERAGE(AS2:AV2)</calculatedColumnFormula>
    </tableColumn>
    <tableColumn id="59" xr3:uid="{B7D540D4-4C9E-464C-83FD-C25980B5432B}" name="C" dataDxfId="1">
      <calculatedColumnFormula>AVERAGE(AW2:AZ2)</calculatedColumnFormula>
    </tableColumn>
    <tableColumn id="60" xr3:uid="{AB3B28A9-2EE3-44A2-8B46-52A801D37F62}" name="Dominant" dataDxfId="0">
      <calculatedColumnFormula array="1">INDEX({"R","I","A","S","E","C"},MATCH(MAX(BB2:BG2),BB2:BG2,0))</calculatedColumnFormula>
    </tableColumn>
  </tableColumns>
  <tableStyleInfo name="Form Responses 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" displayName="Form_Responses" ref="A1:AN31">
  <tableColumns count="40">
    <tableColumn id="1" xr3:uid="{00000000-0010-0000-0100-000001000000}" name="Timestamp"/>
    <tableColumn id="2" xr3:uid="{00000000-0010-0000-0100-000002000000}" name="Column 2"/>
    <tableColumn id="3" xr3:uid="{00000000-0010-0000-0100-000003000000}" name="I enjoy configuring systems, servers, or technical setups."/>
    <tableColumn id="4" xr3:uid="{00000000-0010-0000-0100-000004000000}" name="Column 4"/>
    <tableColumn id="5" xr3:uid="{00000000-0010-0000-0100-000005000000}" name="Column 5"/>
    <tableColumn id="6" xr3:uid="{00000000-0010-0000-0100-000006000000}" name="Column 6"/>
    <tableColumn id="7" xr3:uid="{00000000-0010-0000-0100-000007000000}" name="Column 7"/>
    <tableColumn id="8" xr3:uid="{00000000-0010-0000-0100-000008000000}" name="Column 8"/>
    <tableColumn id="9" xr3:uid="{00000000-0010-0000-0100-000009000000}" name="Column 9"/>
    <tableColumn id="10" xr3:uid="{00000000-0010-0000-0100-00000A000000}" name="Column 10"/>
    <tableColumn id="11" xr3:uid="{00000000-0010-0000-0100-00000B000000}" name="Column 11"/>
    <tableColumn id="12" xr3:uid="{00000000-0010-0000-0100-00000C000000}" name="Column 12"/>
    <tableColumn id="13" xr3:uid="{00000000-0010-0000-0100-00000D000000}" name="Column 13"/>
    <tableColumn id="14" xr3:uid="{00000000-0010-0000-0100-00000E000000}" name="Column 14"/>
    <tableColumn id="15" xr3:uid="{00000000-0010-0000-0100-00000F000000}" name="Column 15"/>
    <tableColumn id="16" xr3:uid="{00000000-0010-0000-0100-000010000000}" name="Column 16"/>
    <tableColumn id="17" xr3:uid="{00000000-0010-0000-0100-000011000000}" name="Column 17"/>
    <tableColumn id="18" xr3:uid="{00000000-0010-0000-0100-000012000000}" name="I prefer hands-on technical work rather than theory"/>
    <tableColumn id="19" xr3:uid="{00000000-0010-0000-0100-000013000000}" name="I enjoy fixing system-level or deployment-related issues"/>
    <tableColumn id="20" xr3:uid="{00000000-0010-0000-0100-000014000000}" name="I enjoy solving logical or algorithmic problems"/>
    <tableColumn id="21" xr3:uid="{00000000-0010-0000-0100-000015000000}" name="I like analyzing data to find insights or patterns."/>
    <tableColumn id="22" xr3:uid="{00000000-0010-0000-0100-000016000000}" name="I like working with hardware, networking, or infrastructure."/>
    <tableColumn id="23" xr3:uid="{00000000-0010-0000-0100-000017000000}" name="I enjoy understanding how software systems work internally"/>
    <tableColumn id="24" xr3:uid="{00000000-0010-0000-0100-000018000000}" name="I like debugging complex problems that require deep thinking"/>
    <tableColumn id="25" xr3:uid="{00000000-0010-0000-0100-000019000000}" name="I enjoy designing user interfaces or web layouts."/>
    <tableColumn id="26" xr3:uid="{00000000-0010-0000-0100-00001A000000}" name="I care about how applications look and feel to users"/>
    <tableColumn id="27" xr3:uid="{00000000-0010-0000-0100-00001B000000}" name="I enjoy combining creativity with technology"/>
    <tableColumn id="28" xr3:uid="{00000000-0010-0000-0100-00001C000000}" name="I like frontend development or visual design tasks"/>
    <tableColumn id="29" xr3:uid="{00000000-0010-0000-0100-00001D000000}" name="I enjoy helping others understand technical concepts"/>
    <tableColumn id="30" xr3:uid="{00000000-0010-0000-0100-00001E000000}" name="I like teaching or mentoring others in technology."/>
    <tableColumn id="31" xr3:uid="{00000000-0010-0000-0100-00001F000000}" name="I enjoy working closely with users or clients."/>
    <tableColumn id="32" xr3:uid="{00000000-0010-0000-0100-000020000000}" name="I like explaining technical ideas in simple language"/>
    <tableColumn id="33" xr3:uid="{00000000-0010-0000-0100-000021000000}" name="I enjoy leading technical or software projects."/>
    <tableColumn id="34" xr3:uid="{00000000-0010-0000-0100-000022000000}" name="I like making decisions that affect a team or product"/>
    <tableColumn id="35" xr3:uid="{00000000-0010-0000-0100-000023000000}" name="I enjoy coordinating between technical and business teams"/>
    <tableColumn id="36" xr3:uid="{00000000-0010-0000-0100-000024000000}" name="I am interested in roles like Product Manager or Tech Lead."/>
    <tableColumn id="37" xr3:uid="{00000000-0010-0000-0100-000025000000}" name="I like working in structured and well-defined environments"/>
    <tableColumn id="38" xr3:uid="{00000000-0010-0000-0100-000026000000}" name="I enjoy documentation, testing, or database-related tasks."/>
    <tableColumn id="39" xr3:uid="{00000000-0010-0000-0100-000027000000}" name="I like following processes and maintaining accuracy."/>
    <tableColumn id="40" xr3:uid="{00000000-0010-0000-0100-000028000000}" name="I enjoy roles that require consistency and attention to detail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11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12.6640625" defaultRowHeight="15.75" customHeight="1" x14ac:dyDescent="0.25"/>
  <cols>
    <col min="1" max="2" width="18.88671875" customWidth="1"/>
    <col min="3" max="12" width="37.6640625" customWidth="1"/>
    <col min="13" max="13" width="36.88671875" customWidth="1"/>
    <col min="14" max="16" width="37.6640625" customWidth="1"/>
    <col min="17" max="17" width="37" customWidth="1"/>
    <col min="18" max="26" width="37.6640625" customWidth="1"/>
    <col min="27" max="32" width="18.88671875" customWidth="1"/>
    <col min="54" max="54" width="13.5546875" customWidth="1"/>
  </cols>
  <sheetData>
    <row r="1" spans="1:60" ht="22.5" customHeight="1" x14ac:dyDescent="0.25">
      <c r="A1" s="1" t="s">
        <v>0</v>
      </c>
      <c r="B1" s="1" t="s">
        <v>79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47</v>
      </c>
      <c r="AB1" t="s">
        <v>1</v>
      </c>
      <c r="AC1" t="s">
        <v>49</v>
      </c>
      <c r="AD1" t="s">
        <v>50</v>
      </c>
      <c r="AE1" t="s">
        <v>51</v>
      </c>
      <c r="AF1" t="s">
        <v>52</v>
      </c>
      <c r="AG1" t="s">
        <v>48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80</v>
      </c>
    </row>
    <row r="2" spans="1:60" ht="22.5" customHeight="1" x14ac:dyDescent="0.25">
      <c r="A2" s="2">
        <v>1</v>
      </c>
      <c r="B2" s="2">
        <f>AVERAGE(AC2:AZ2)</f>
        <v>3.9583333333333335</v>
      </c>
      <c r="C2" s="2" t="s">
        <v>26</v>
      </c>
      <c r="D2" s="2" t="s">
        <v>26</v>
      </c>
      <c r="E2" s="2" t="s">
        <v>27</v>
      </c>
      <c r="F2" s="2" t="s">
        <v>28</v>
      </c>
      <c r="G2" s="2" t="s">
        <v>27</v>
      </c>
      <c r="H2" s="2" t="s">
        <v>29</v>
      </c>
      <c r="I2" s="2" t="s">
        <v>27</v>
      </c>
      <c r="J2" s="2" t="s">
        <v>29</v>
      </c>
      <c r="K2" s="2" t="s">
        <v>26</v>
      </c>
      <c r="L2" s="2" t="s">
        <v>27</v>
      </c>
      <c r="M2" s="2" t="s">
        <v>26</v>
      </c>
      <c r="N2" s="2" t="s">
        <v>26</v>
      </c>
      <c r="O2" s="2" t="s">
        <v>27</v>
      </c>
      <c r="P2" s="2" t="s">
        <v>27</v>
      </c>
      <c r="Q2" s="2" t="s">
        <v>29</v>
      </c>
      <c r="R2" s="2" t="s">
        <v>26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27</v>
      </c>
      <c r="X2" s="2" t="s">
        <v>29</v>
      </c>
      <c r="Y2" s="2" t="s">
        <v>27</v>
      </c>
      <c r="Z2" s="2" t="s">
        <v>27</v>
      </c>
      <c r="AA2" t="s">
        <v>30</v>
      </c>
      <c r="AB2">
        <v>1</v>
      </c>
      <c r="AC2">
        <f t="shared" ref="AC2" si="0">_xlfn.XLOOKUP(TRIM(C2),$AA$2:$AA$6,$AB$2:$AB$6)</f>
        <v>4</v>
      </c>
      <c r="AD2">
        <f t="shared" ref="AD2" si="1">_xlfn.XLOOKUP(TRIM(D2),$AA$2:$AA$6,$AB$2:$AB$6)</f>
        <v>4</v>
      </c>
      <c r="AE2">
        <f t="shared" ref="AE2" si="2">_xlfn.XLOOKUP(TRIM(E2),$AA$2:$AA$6,$AB$2:$AB$6)</f>
        <v>5</v>
      </c>
      <c r="AF2">
        <f t="shared" ref="AF2" si="3">_xlfn.XLOOKUP(TRIM(F2),$AA$2:$AA$6,$AB$2:$AB$6)</f>
        <v>2</v>
      </c>
      <c r="AG2">
        <f t="shared" ref="AG2" si="4">_xlfn.XLOOKUP(TRIM(G2),$AA$2:$AA$6,$AB$2:$AB$6)</f>
        <v>5</v>
      </c>
      <c r="AH2">
        <f t="shared" ref="AH2" si="5">_xlfn.XLOOKUP(TRIM(H2),$AA$2:$AA$6,$AB$2:$AB$6)</f>
        <v>3</v>
      </c>
      <c r="AI2">
        <f t="shared" ref="AI2" si="6">_xlfn.XLOOKUP(TRIM(I2),$AA$2:$AA$6,$AB$2:$AB$6)</f>
        <v>5</v>
      </c>
      <c r="AJ2">
        <f t="shared" ref="AJ2" si="7">_xlfn.XLOOKUP(TRIM(J2),$AA$2:$AA$6,$AB$2:$AB$6)</f>
        <v>3</v>
      </c>
      <c r="AK2">
        <f t="shared" ref="AK2" si="8">_xlfn.XLOOKUP(TRIM(K2),$AA$2:$AA$6,$AB$2:$AB$6)</f>
        <v>4</v>
      </c>
      <c r="AL2">
        <f t="shared" ref="AL2" si="9">_xlfn.XLOOKUP(TRIM(L2),$AA$2:$AA$6,$AB$2:$AB$6)</f>
        <v>5</v>
      </c>
      <c r="AM2">
        <f t="shared" ref="AM2" si="10">_xlfn.XLOOKUP(TRIM(M2),$AA$2:$AA$6,$AB$2:$AB$6)</f>
        <v>4</v>
      </c>
      <c r="AN2">
        <f t="shared" ref="AN2" si="11">_xlfn.XLOOKUP(TRIM(N2),$AA$2:$AA$6,$AB$2:$AB$6)</f>
        <v>4</v>
      </c>
      <c r="AO2">
        <f t="shared" ref="AO2" si="12">_xlfn.XLOOKUP(TRIM(O2),$AA$2:$AA$6,$AB$2:$AB$6)</f>
        <v>5</v>
      </c>
      <c r="AP2">
        <f t="shared" ref="AP2" si="13">_xlfn.XLOOKUP(TRIM(P2),$AA$2:$AA$6,$AB$2:$AB$6)</f>
        <v>5</v>
      </c>
      <c r="AQ2">
        <f t="shared" ref="AQ2" si="14">_xlfn.XLOOKUP(TRIM(Q2),$AA$2:$AA$6,$AB$2:$AB$6)</f>
        <v>3</v>
      </c>
      <c r="AR2">
        <f t="shared" ref="AR2" si="15">_xlfn.XLOOKUP(TRIM(R2),$AA$2:$AA$6,$AB$2:$AB$6)</f>
        <v>4</v>
      </c>
      <c r="AS2">
        <f t="shared" ref="AS2" si="16">_xlfn.XLOOKUP(TRIM(S2),$AA$2:$AA$6,$AB$2:$AB$6)</f>
        <v>3</v>
      </c>
      <c r="AT2">
        <f t="shared" ref="AT2" si="17">_xlfn.XLOOKUP(TRIM(T2),$AA$2:$AA$6,$AB$2:$AB$6)</f>
        <v>3</v>
      </c>
      <c r="AU2">
        <f t="shared" ref="AU2" si="18">_xlfn.XLOOKUP(TRIM(U2),$AA$2:$AA$6,$AB$2:$AB$6)</f>
        <v>3</v>
      </c>
      <c r="AV2">
        <f t="shared" ref="AV2" si="19">_xlfn.XLOOKUP(TRIM(V2),$AA$2:$AA$6,$AB$2:$AB$6)</f>
        <v>3</v>
      </c>
      <c r="AW2">
        <f t="shared" ref="AW2" si="20">_xlfn.XLOOKUP(TRIM(W2),$AA$2:$AA$6,$AB$2:$AB$6)</f>
        <v>5</v>
      </c>
      <c r="AX2">
        <f t="shared" ref="AX2" si="21">_xlfn.XLOOKUP(TRIM(X2),$AA$2:$AA$6,$AB$2:$AB$6)</f>
        <v>3</v>
      </c>
      <c r="AY2">
        <f t="shared" ref="AY2" si="22">_xlfn.XLOOKUP(TRIM(Y2),$AA$2:$AA$6,$AB$2:$AB$6)</f>
        <v>5</v>
      </c>
      <c r="AZ2">
        <f t="shared" ref="AZ2" si="23">_xlfn.XLOOKUP(TRIM(Z2),$AA$2:$AA$6,$AB$2:$AB$6)</f>
        <v>5</v>
      </c>
      <c r="BA2">
        <f t="shared" ref="BA2:BA11" si="24">IFERROR(_xlfn.XLOOKUP(TRIM(AA2),$AA$2:$AA$6,$AB$2:$AB$6)," ")</f>
        <v>1</v>
      </c>
      <c r="BB2">
        <f t="shared" ref="BB2:BB11" si="25">AVERAGE(AC2:AF2)</f>
        <v>3.75</v>
      </c>
      <c r="BC2">
        <f t="shared" ref="BC2:BC11" si="26">AVERAGE(AG2:AJ2)</f>
        <v>4</v>
      </c>
      <c r="BD2">
        <f t="shared" ref="BD2:BD11" si="27">AVERAGE(AK2:AN2)</f>
        <v>4.25</v>
      </c>
      <c r="BE2">
        <f t="shared" ref="BE2:BE11" si="28">AVERAGE(AO2:AR2)</f>
        <v>4.25</v>
      </c>
      <c r="BF2">
        <f t="shared" ref="BF2:BF11" si="29">AVERAGE(AS2:AV2)</f>
        <v>3</v>
      </c>
      <c r="BG2">
        <f t="shared" ref="BG2:BG11" si="30">AVERAGE(AW2:AZ2)</f>
        <v>4.5</v>
      </c>
      <c r="BH2" t="str" cm="1">
        <f t="array" ref="BH2">INDEX({"R","I","A","S","E","C"},MATCH(MAX(BB2:BG2),BB2:BG2,0))</f>
        <v>C</v>
      </c>
    </row>
    <row r="3" spans="1:60" ht="22.5" customHeight="1" x14ac:dyDescent="0.25">
      <c r="A3" s="2">
        <v>2</v>
      </c>
      <c r="B3" s="2">
        <f t="shared" ref="B3:B11" si="31">AVERAGE(AC3:AZ3)</f>
        <v>3.8333333333333335</v>
      </c>
      <c r="C3" s="2" t="s">
        <v>27</v>
      </c>
      <c r="D3" s="2" t="s">
        <v>27</v>
      </c>
      <c r="E3" s="2" t="s">
        <v>26</v>
      </c>
      <c r="F3" s="2" t="s">
        <v>26</v>
      </c>
      <c r="G3" s="2" t="s">
        <v>29</v>
      </c>
      <c r="H3" s="2" t="s">
        <v>29</v>
      </c>
      <c r="I3" s="2" t="s">
        <v>29</v>
      </c>
      <c r="J3" s="2" t="s">
        <v>29</v>
      </c>
      <c r="K3" s="2" t="s">
        <v>27</v>
      </c>
      <c r="L3" s="2" t="s">
        <v>27</v>
      </c>
      <c r="M3" s="2" t="s">
        <v>27</v>
      </c>
      <c r="N3" s="2" t="s">
        <v>26</v>
      </c>
      <c r="O3" s="2" t="s">
        <v>29</v>
      </c>
      <c r="P3" s="2" t="s">
        <v>29</v>
      </c>
      <c r="Q3" s="2" t="s">
        <v>26</v>
      </c>
      <c r="R3" s="2" t="s">
        <v>26</v>
      </c>
      <c r="S3" s="2" t="s">
        <v>29</v>
      </c>
      <c r="T3" s="2" t="s">
        <v>29</v>
      </c>
      <c r="U3" s="2" t="s">
        <v>26</v>
      </c>
      <c r="V3" s="2" t="s">
        <v>29</v>
      </c>
      <c r="W3" s="2" t="s">
        <v>26</v>
      </c>
      <c r="X3" s="2" t="s">
        <v>29</v>
      </c>
      <c r="Y3" s="2" t="s">
        <v>26</v>
      </c>
      <c r="Z3" s="2" t="s">
        <v>27</v>
      </c>
      <c r="AA3" t="s">
        <v>28</v>
      </c>
      <c r="AB3">
        <v>2</v>
      </c>
      <c r="AC3">
        <f t="shared" ref="AC3:AC11" si="32">_xlfn.XLOOKUP(TRIM(C3),$AA$2:$AA$6,$AB$2:$AB$6)</f>
        <v>5</v>
      </c>
      <c r="AD3">
        <f t="shared" ref="AD3:AD11" si="33">_xlfn.XLOOKUP(TRIM(D3),$AA$2:$AA$6,$AB$2:$AB$6)</f>
        <v>5</v>
      </c>
      <c r="AE3">
        <f t="shared" ref="AE3:AE11" si="34">_xlfn.XLOOKUP(TRIM(E3),$AA$2:$AA$6,$AB$2:$AB$6)</f>
        <v>4</v>
      </c>
      <c r="AF3">
        <f t="shared" ref="AF3:AF11" si="35">_xlfn.XLOOKUP(TRIM(F3),$AA$2:$AA$6,$AB$2:$AB$6)</f>
        <v>4</v>
      </c>
      <c r="AG3">
        <f t="shared" ref="AG3:AG11" si="36">_xlfn.XLOOKUP(TRIM(G3),$AA$2:$AA$6,$AB$2:$AB$6)</f>
        <v>3</v>
      </c>
      <c r="AH3">
        <f t="shared" ref="AH3:AH11" si="37">_xlfn.XLOOKUP(TRIM(H3),$AA$2:$AA$6,$AB$2:$AB$6)</f>
        <v>3</v>
      </c>
      <c r="AI3">
        <f t="shared" ref="AI3:AI11" si="38">_xlfn.XLOOKUP(TRIM(I3),$AA$2:$AA$6,$AB$2:$AB$6)</f>
        <v>3</v>
      </c>
      <c r="AJ3">
        <f t="shared" ref="AJ3:AJ11" si="39">_xlfn.XLOOKUP(TRIM(J3),$AA$2:$AA$6,$AB$2:$AB$6)</f>
        <v>3</v>
      </c>
      <c r="AK3">
        <f t="shared" ref="AK3:AK11" si="40">_xlfn.XLOOKUP(TRIM(K3),$AA$2:$AA$6,$AB$2:$AB$6)</f>
        <v>5</v>
      </c>
      <c r="AL3">
        <f t="shared" ref="AL3:AL11" si="41">_xlfn.XLOOKUP(TRIM(L3),$AA$2:$AA$6,$AB$2:$AB$6)</f>
        <v>5</v>
      </c>
      <c r="AM3">
        <f t="shared" ref="AM3:AM11" si="42">_xlfn.XLOOKUP(TRIM(M3),$AA$2:$AA$6,$AB$2:$AB$6)</f>
        <v>5</v>
      </c>
      <c r="AN3">
        <f t="shared" ref="AN3:AN11" si="43">_xlfn.XLOOKUP(TRIM(N3),$AA$2:$AA$6,$AB$2:$AB$6)</f>
        <v>4</v>
      </c>
      <c r="AO3">
        <f t="shared" ref="AO3:AO11" si="44">_xlfn.XLOOKUP(TRIM(O3),$AA$2:$AA$6,$AB$2:$AB$6)</f>
        <v>3</v>
      </c>
      <c r="AP3">
        <f t="shared" ref="AP3:AP11" si="45">_xlfn.XLOOKUP(TRIM(P3),$AA$2:$AA$6,$AB$2:$AB$6)</f>
        <v>3</v>
      </c>
      <c r="AQ3">
        <f t="shared" ref="AQ3:AQ11" si="46">_xlfn.XLOOKUP(TRIM(Q3),$AA$2:$AA$6,$AB$2:$AB$6)</f>
        <v>4</v>
      </c>
      <c r="AR3">
        <f t="shared" ref="AR3:AR11" si="47">_xlfn.XLOOKUP(TRIM(R3),$AA$2:$AA$6,$AB$2:$AB$6)</f>
        <v>4</v>
      </c>
      <c r="AS3">
        <f t="shared" ref="AS3:AS11" si="48">_xlfn.XLOOKUP(TRIM(S3),$AA$2:$AA$6,$AB$2:$AB$6)</f>
        <v>3</v>
      </c>
      <c r="AT3">
        <f t="shared" ref="AT3:AT11" si="49">_xlfn.XLOOKUP(TRIM(T3),$AA$2:$AA$6,$AB$2:$AB$6)</f>
        <v>3</v>
      </c>
      <c r="AU3">
        <f t="shared" ref="AU3:AU11" si="50">_xlfn.XLOOKUP(TRIM(U3),$AA$2:$AA$6,$AB$2:$AB$6)</f>
        <v>4</v>
      </c>
      <c r="AV3">
        <f t="shared" ref="AV3:AV11" si="51">_xlfn.XLOOKUP(TRIM(V3),$AA$2:$AA$6,$AB$2:$AB$6)</f>
        <v>3</v>
      </c>
      <c r="AW3">
        <f t="shared" ref="AW3:AW11" si="52">_xlfn.XLOOKUP(TRIM(W3),$AA$2:$AA$6,$AB$2:$AB$6)</f>
        <v>4</v>
      </c>
      <c r="AX3">
        <f t="shared" ref="AX3:AX11" si="53">_xlfn.XLOOKUP(TRIM(X3),$AA$2:$AA$6,$AB$2:$AB$6)</f>
        <v>3</v>
      </c>
      <c r="AY3">
        <f t="shared" ref="AY3:AY11" si="54">_xlfn.XLOOKUP(TRIM(Y3),$AA$2:$AA$6,$AB$2:$AB$6)</f>
        <v>4</v>
      </c>
      <c r="AZ3">
        <f t="shared" ref="AZ3:AZ11" si="55">_xlfn.XLOOKUP(TRIM(Z3),$AA$2:$AA$6,$AB$2:$AB$6)</f>
        <v>5</v>
      </c>
      <c r="BA3">
        <f t="shared" si="24"/>
        <v>2</v>
      </c>
      <c r="BB3">
        <f t="shared" si="25"/>
        <v>4.5</v>
      </c>
      <c r="BC3">
        <f t="shared" si="26"/>
        <v>3</v>
      </c>
      <c r="BD3">
        <f t="shared" si="27"/>
        <v>4.75</v>
      </c>
      <c r="BE3">
        <f t="shared" si="28"/>
        <v>3.5</v>
      </c>
      <c r="BF3">
        <f t="shared" si="29"/>
        <v>3.25</v>
      </c>
      <c r="BG3">
        <f t="shared" si="30"/>
        <v>4</v>
      </c>
      <c r="BH3" t="str" cm="1">
        <f t="array" ref="BH3">INDEX({"R","I","A","S","E","C"},MATCH(MAX(BB3:BG3),BB3:BG3,0))</f>
        <v>A</v>
      </c>
    </row>
    <row r="4" spans="1:60" ht="22.5" customHeight="1" x14ac:dyDescent="0.25">
      <c r="A4" s="2">
        <v>3</v>
      </c>
      <c r="B4" s="2">
        <f t="shared" si="31"/>
        <v>3.5833333333333335</v>
      </c>
      <c r="C4" s="2" t="s">
        <v>27</v>
      </c>
      <c r="D4" s="2" t="s">
        <v>27</v>
      </c>
      <c r="E4" s="2" t="s">
        <v>27</v>
      </c>
      <c r="F4" s="2" t="s">
        <v>29</v>
      </c>
      <c r="G4" s="2" t="s">
        <v>29</v>
      </c>
      <c r="H4" s="2" t="s">
        <v>29</v>
      </c>
      <c r="I4" s="2" t="s">
        <v>26</v>
      </c>
      <c r="J4" s="2" t="s">
        <v>29</v>
      </c>
      <c r="K4" s="2" t="s">
        <v>28</v>
      </c>
      <c r="L4" s="2" t="s">
        <v>26</v>
      </c>
      <c r="M4" s="2" t="s">
        <v>26</v>
      </c>
      <c r="N4" s="2" t="s">
        <v>30</v>
      </c>
      <c r="O4" s="2" t="s">
        <v>29</v>
      </c>
      <c r="P4" s="2" t="s">
        <v>29</v>
      </c>
      <c r="Q4" s="2" t="s">
        <v>29</v>
      </c>
      <c r="R4" s="2" t="s">
        <v>26</v>
      </c>
      <c r="S4" s="2" t="s">
        <v>28</v>
      </c>
      <c r="T4" s="2" t="s">
        <v>27</v>
      </c>
      <c r="U4" s="2" t="s">
        <v>27</v>
      </c>
      <c r="V4" s="2" t="s">
        <v>29</v>
      </c>
      <c r="W4" s="2" t="s">
        <v>27</v>
      </c>
      <c r="X4" s="2" t="s">
        <v>28</v>
      </c>
      <c r="Y4" s="2" t="s">
        <v>26</v>
      </c>
      <c r="Z4" s="2" t="s">
        <v>27</v>
      </c>
      <c r="AA4" t="s">
        <v>29</v>
      </c>
      <c r="AB4">
        <v>3</v>
      </c>
      <c r="AC4">
        <f t="shared" si="32"/>
        <v>5</v>
      </c>
      <c r="AD4">
        <f t="shared" si="33"/>
        <v>5</v>
      </c>
      <c r="AE4">
        <f t="shared" si="34"/>
        <v>5</v>
      </c>
      <c r="AF4">
        <f t="shared" si="35"/>
        <v>3</v>
      </c>
      <c r="AG4">
        <f t="shared" si="36"/>
        <v>3</v>
      </c>
      <c r="AH4">
        <f t="shared" si="37"/>
        <v>3</v>
      </c>
      <c r="AI4">
        <f t="shared" si="38"/>
        <v>4</v>
      </c>
      <c r="AJ4">
        <f t="shared" si="39"/>
        <v>3</v>
      </c>
      <c r="AK4">
        <f t="shared" si="40"/>
        <v>2</v>
      </c>
      <c r="AL4">
        <f t="shared" si="41"/>
        <v>4</v>
      </c>
      <c r="AM4">
        <f t="shared" si="42"/>
        <v>4</v>
      </c>
      <c r="AN4">
        <f t="shared" si="43"/>
        <v>1</v>
      </c>
      <c r="AO4">
        <f t="shared" si="44"/>
        <v>3</v>
      </c>
      <c r="AP4">
        <f t="shared" si="45"/>
        <v>3</v>
      </c>
      <c r="AQ4">
        <f t="shared" si="46"/>
        <v>3</v>
      </c>
      <c r="AR4">
        <f t="shared" si="47"/>
        <v>4</v>
      </c>
      <c r="AS4">
        <f t="shared" si="48"/>
        <v>2</v>
      </c>
      <c r="AT4">
        <f t="shared" si="49"/>
        <v>5</v>
      </c>
      <c r="AU4">
        <f t="shared" si="50"/>
        <v>5</v>
      </c>
      <c r="AV4">
        <f t="shared" si="51"/>
        <v>3</v>
      </c>
      <c r="AW4">
        <f t="shared" si="52"/>
        <v>5</v>
      </c>
      <c r="AX4">
        <f t="shared" si="53"/>
        <v>2</v>
      </c>
      <c r="AY4">
        <f t="shared" si="54"/>
        <v>4</v>
      </c>
      <c r="AZ4">
        <f t="shared" si="55"/>
        <v>5</v>
      </c>
      <c r="BA4">
        <f t="shared" si="24"/>
        <v>3</v>
      </c>
      <c r="BB4">
        <f t="shared" si="25"/>
        <v>4.5</v>
      </c>
      <c r="BC4">
        <f t="shared" si="26"/>
        <v>3.25</v>
      </c>
      <c r="BD4">
        <f t="shared" si="27"/>
        <v>2.75</v>
      </c>
      <c r="BE4">
        <f t="shared" si="28"/>
        <v>3.25</v>
      </c>
      <c r="BF4">
        <f t="shared" si="29"/>
        <v>3.75</v>
      </c>
      <c r="BG4">
        <f t="shared" si="30"/>
        <v>4</v>
      </c>
      <c r="BH4" t="str" cm="1">
        <f t="array" ref="BH4">INDEX({"R","I","A","S","E","C"},MATCH(MAX(BB4:BG4),BB4:BG4,0))</f>
        <v>R</v>
      </c>
    </row>
    <row r="5" spans="1:60" ht="22.5" customHeight="1" x14ac:dyDescent="0.25">
      <c r="A5" s="2">
        <v>4</v>
      </c>
      <c r="B5" s="2">
        <f t="shared" si="31"/>
        <v>4.333333333333333</v>
      </c>
      <c r="C5" s="2" t="s">
        <v>26</v>
      </c>
      <c r="D5" s="2" t="s">
        <v>29</v>
      </c>
      <c r="E5" s="2" t="s">
        <v>27</v>
      </c>
      <c r="F5" s="2" t="s">
        <v>26</v>
      </c>
      <c r="G5" s="2" t="s">
        <v>26</v>
      </c>
      <c r="H5" s="2" t="s">
        <v>27</v>
      </c>
      <c r="I5" s="2" t="s">
        <v>26</v>
      </c>
      <c r="J5" s="2" t="s">
        <v>29</v>
      </c>
      <c r="K5" s="2" t="s">
        <v>27</v>
      </c>
      <c r="L5" s="2" t="s">
        <v>27</v>
      </c>
      <c r="M5" s="2" t="s">
        <v>27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27</v>
      </c>
      <c r="S5" s="2" t="s">
        <v>26</v>
      </c>
      <c r="T5" s="2" t="s">
        <v>26</v>
      </c>
      <c r="U5" s="2" t="s">
        <v>27</v>
      </c>
      <c r="V5" s="2" t="s">
        <v>27</v>
      </c>
      <c r="W5" s="2" t="s">
        <v>27</v>
      </c>
      <c r="X5" s="2" t="s">
        <v>29</v>
      </c>
      <c r="Y5" s="2" t="s">
        <v>29</v>
      </c>
      <c r="Z5" s="2" t="s">
        <v>29</v>
      </c>
      <c r="AA5" t="s">
        <v>26</v>
      </c>
      <c r="AB5">
        <v>4</v>
      </c>
      <c r="AC5">
        <f t="shared" si="32"/>
        <v>4</v>
      </c>
      <c r="AD5">
        <f t="shared" si="33"/>
        <v>3</v>
      </c>
      <c r="AE5">
        <f t="shared" si="34"/>
        <v>5</v>
      </c>
      <c r="AF5">
        <f t="shared" si="35"/>
        <v>4</v>
      </c>
      <c r="AG5">
        <f t="shared" si="36"/>
        <v>4</v>
      </c>
      <c r="AH5">
        <f t="shared" si="37"/>
        <v>5</v>
      </c>
      <c r="AI5">
        <f t="shared" si="38"/>
        <v>4</v>
      </c>
      <c r="AJ5">
        <f t="shared" si="39"/>
        <v>3</v>
      </c>
      <c r="AK5">
        <f t="shared" si="40"/>
        <v>5</v>
      </c>
      <c r="AL5">
        <f t="shared" si="41"/>
        <v>5</v>
      </c>
      <c r="AM5">
        <f t="shared" si="42"/>
        <v>5</v>
      </c>
      <c r="AN5">
        <f t="shared" si="43"/>
        <v>5</v>
      </c>
      <c r="AO5">
        <f t="shared" si="44"/>
        <v>5</v>
      </c>
      <c r="AP5">
        <f t="shared" si="45"/>
        <v>5</v>
      </c>
      <c r="AQ5">
        <f t="shared" si="46"/>
        <v>5</v>
      </c>
      <c r="AR5">
        <f t="shared" si="47"/>
        <v>5</v>
      </c>
      <c r="AS5">
        <f t="shared" si="48"/>
        <v>4</v>
      </c>
      <c r="AT5">
        <f t="shared" si="49"/>
        <v>4</v>
      </c>
      <c r="AU5">
        <f t="shared" si="50"/>
        <v>5</v>
      </c>
      <c r="AV5">
        <f t="shared" si="51"/>
        <v>5</v>
      </c>
      <c r="AW5">
        <f t="shared" si="52"/>
        <v>5</v>
      </c>
      <c r="AX5">
        <f t="shared" si="53"/>
        <v>3</v>
      </c>
      <c r="AY5">
        <f t="shared" si="54"/>
        <v>3</v>
      </c>
      <c r="AZ5">
        <f t="shared" si="55"/>
        <v>3</v>
      </c>
      <c r="BA5">
        <f t="shared" si="24"/>
        <v>4</v>
      </c>
      <c r="BB5">
        <f t="shared" si="25"/>
        <v>4</v>
      </c>
      <c r="BC5">
        <f t="shared" si="26"/>
        <v>4</v>
      </c>
      <c r="BD5">
        <f t="shared" si="27"/>
        <v>5</v>
      </c>
      <c r="BE5">
        <f t="shared" si="28"/>
        <v>5</v>
      </c>
      <c r="BF5">
        <f t="shared" si="29"/>
        <v>4.5</v>
      </c>
      <c r="BG5">
        <f t="shared" si="30"/>
        <v>3.5</v>
      </c>
      <c r="BH5" t="str" cm="1">
        <f t="array" ref="BH5">INDEX({"R","I","A","S","E","C"},MATCH(MAX(BB5:BG5),BB5:BG5,0))</f>
        <v>A</v>
      </c>
    </row>
    <row r="6" spans="1:60" ht="22.5" customHeight="1" x14ac:dyDescent="0.25">
      <c r="A6" s="2">
        <v>5</v>
      </c>
      <c r="B6" s="2">
        <f t="shared" si="31"/>
        <v>4.958333333333333</v>
      </c>
      <c r="C6" s="2" t="s">
        <v>27</v>
      </c>
      <c r="D6" s="2" t="s">
        <v>27</v>
      </c>
      <c r="E6" s="2" t="s">
        <v>27</v>
      </c>
      <c r="F6" s="2" t="s">
        <v>26</v>
      </c>
      <c r="G6" s="2" t="s">
        <v>27</v>
      </c>
      <c r="H6" s="2" t="s">
        <v>27</v>
      </c>
      <c r="I6" s="2" t="s">
        <v>27</v>
      </c>
      <c r="J6" s="2" t="s">
        <v>27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27</v>
      </c>
      <c r="S6" s="2" t="s">
        <v>27</v>
      </c>
      <c r="T6" s="2" t="s">
        <v>27</v>
      </c>
      <c r="U6" s="2" t="s">
        <v>27</v>
      </c>
      <c r="V6" s="2" t="s">
        <v>27</v>
      </c>
      <c r="W6" s="2" t="s">
        <v>27</v>
      </c>
      <c r="X6" s="2" t="s">
        <v>27</v>
      </c>
      <c r="Y6" s="2" t="s">
        <v>27</v>
      </c>
      <c r="Z6" s="2" t="s">
        <v>27</v>
      </c>
      <c r="AA6" t="s">
        <v>27</v>
      </c>
      <c r="AB6">
        <v>5</v>
      </c>
      <c r="AC6">
        <f t="shared" si="32"/>
        <v>5</v>
      </c>
      <c r="AD6">
        <f t="shared" si="33"/>
        <v>5</v>
      </c>
      <c r="AE6">
        <f t="shared" si="34"/>
        <v>5</v>
      </c>
      <c r="AF6">
        <f t="shared" si="35"/>
        <v>4</v>
      </c>
      <c r="AG6">
        <f t="shared" si="36"/>
        <v>5</v>
      </c>
      <c r="AH6">
        <f t="shared" si="37"/>
        <v>5</v>
      </c>
      <c r="AI6">
        <f t="shared" si="38"/>
        <v>5</v>
      </c>
      <c r="AJ6">
        <f t="shared" si="39"/>
        <v>5</v>
      </c>
      <c r="AK6">
        <f t="shared" si="40"/>
        <v>5</v>
      </c>
      <c r="AL6">
        <f t="shared" si="41"/>
        <v>5</v>
      </c>
      <c r="AM6">
        <f t="shared" si="42"/>
        <v>5</v>
      </c>
      <c r="AN6">
        <f t="shared" si="43"/>
        <v>5</v>
      </c>
      <c r="AO6">
        <f t="shared" si="44"/>
        <v>5</v>
      </c>
      <c r="AP6">
        <f t="shared" si="45"/>
        <v>5</v>
      </c>
      <c r="AQ6">
        <f t="shared" si="46"/>
        <v>5</v>
      </c>
      <c r="AR6">
        <f t="shared" si="47"/>
        <v>5</v>
      </c>
      <c r="AS6">
        <f t="shared" si="48"/>
        <v>5</v>
      </c>
      <c r="AT6">
        <f t="shared" si="49"/>
        <v>5</v>
      </c>
      <c r="AU6">
        <f t="shared" si="50"/>
        <v>5</v>
      </c>
      <c r="AV6">
        <f t="shared" si="51"/>
        <v>5</v>
      </c>
      <c r="AW6">
        <f t="shared" si="52"/>
        <v>5</v>
      </c>
      <c r="AX6">
        <f t="shared" si="53"/>
        <v>5</v>
      </c>
      <c r="AY6">
        <f t="shared" si="54"/>
        <v>5</v>
      </c>
      <c r="AZ6">
        <f t="shared" si="55"/>
        <v>5</v>
      </c>
      <c r="BA6">
        <f t="shared" si="24"/>
        <v>5</v>
      </c>
      <c r="BB6">
        <f t="shared" si="25"/>
        <v>4.75</v>
      </c>
      <c r="BC6">
        <f t="shared" si="26"/>
        <v>5</v>
      </c>
      <c r="BD6">
        <f t="shared" si="27"/>
        <v>5</v>
      </c>
      <c r="BE6">
        <f t="shared" si="28"/>
        <v>5</v>
      </c>
      <c r="BF6">
        <f t="shared" si="29"/>
        <v>5</v>
      </c>
      <c r="BG6">
        <f t="shared" si="30"/>
        <v>5</v>
      </c>
      <c r="BH6" t="str" cm="1">
        <f t="array" ref="BH6">INDEX({"R","I","A","S","E","C"},MATCH(MAX(BB6:BG6),BB6:BG6,0))</f>
        <v>I</v>
      </c>
    </row>
    <row r="7" spans="1:60" ht="22.5" customHeight="1" x14ac:dyDescent="0.25">
      <c r="A7" s="2">
        <v>6</v>
      </c>
      <c r="B7" s="2">
        <f t="shared" si="31"/>
        <v>4.666666666666667</v>
      </c>
      <c r="C7" s="2" t="s">
        <v>27</v>
      </c>
      <c r="D7" s="2" t="s">
        <v>27</v>
      </c>
      <c r="E7" s="2" t="s">
        <v>27</v>
      </c>
      <c r="F7" s="2" t="s">
        <v>27</v>
      </c>
      <c r="G7" s="2" t="s">
        <v>26</v>
      </c>
      <c r="H7" s="2" t="s">
        <v>29</v>
      </c>
      <c r="I7" s="2" t="s">
        <v>27</v>
      </c>
      <c r="J7" s="2" t="s">
        <v>26</v>
      </c>
      <c r="K7" s="2" t="s">
        <v>27</v>
      </c>
      <c r="L7" s="2" t="s">
        <v>27</v>
      </c>
      <c r="M7" s="2" t="s">
        <v>27</v>
      </c>
      <c r="N7" s="2" t="s">
        <v>27</v>
      </c>
      <c r="O7" s="2" t="s">
        <v>26</v>
      </c>
      <c r="P7" s="2" t="s">
        <v>26</v>
      </c>
      <c r="Q7" s="2" t="s">
        <v>27</v>
      </c>
      <c r="R7" s="2" t="s">
        <v>27</v>
      </c>
      <c r="S7" s="2" t="s">
        <v>27</v>
      </c>
      <c r="T7" s="2" t="s">
        <v>27</v>
      </c>
      <c r="U7" s="2" t="s">
        <v>27</v>
      </c>
      <c r="V7" s="2" t="s">
        <v>27</v>
      </c>
      <c r="W7" s="2" t="s">
        <v>27</v>
      </c>
      <c r="X7" s="2" t="s">
        <v>26</v>
      </c>
      <c r="Y7" s="2" t="s">
        <v>26</v>
      </c>
      <c r="Z7" s="2" t="s">
        <v>27</v>
      </c>
      <c r="AC7">
        <f t="shared" si="32"/>
        <v>5</v>
      </c>
      <c r="AD7">
        <f t="shared" si="33"/>
        <v>5</v>
      </c>
      <c r="AE7">
        <f t="shared" si="34"/>
        <v>5</v>
      </c>
      <c r="AF7">
        <f t="shared" si="35"/>
        <v>5</v>
      </c>
      <c r="AG7">
        <f t="shared" si="36"/>
        <v>4</v>
      </c>
      <c r="AH7">
        <f t="shared" si="37"/>
        <v>3</v>
      </c>
      <c r="AI7">
        <f t="shared" si="38"/>
        <v>5</v>
      </c>
      <c r="AJ7">
        <f t="shared" si="39"/>
        <v>4</v>
      </c>
      <c r="AK7">
        <f t="shared" si="40"/>
        <v>5</v>
      </c>
      <c r="AL7">
        <f t="shared" si="41"/>
        <v>5</v>
      </c>
      <c r="AM7">
        <f t="shared" si="42"/>
        <v>5</v>
      </c>
      <c r="AN7">
        <f t="shared" si="43"/>
        <v>5</v>
      </c>
      <c r="AO7">
        <f t="shared" si="44"/>
        <v>4</v>
      </c>
      <c r="AP7">
        <f t="shared" si="45"/>
        <v>4</v>
      </c>
      <c r="AQ7">
        <f t="shared" si="46"/>
        <v>5</v>
      </c>
      <c r="AR7">
        <f t="shared" si="47"/>
        <v>5</v>
      </c>
      <c r="AS7">
        <f t="shared" si="48"/>
        <v>5</v>
      </c>
      <c r="AT7">
        <f t="shared" si="49"/>
        <v>5</v>
      </c>
      <c r="AU7">
        <f t="shared" si="50"/>
        <v>5</v>
      </c>
      <c r="AV7">
        <f t="shared" si="51"/>
        <v>5</v>
      </c>
      <c r="AW7">
        <f t="shared" si="52"/>
        <v>5</v>
      </c>
      <c r="AX7">
        <f t="shared" si="53"/>
        <v>4</v>
      </c>
      <c r="AY7">
        <f t="shared" si="54"/>
        <v>4</v>
      </c>
      <c r="AZ7">
        <f t="shared" si="55"/>
        <v>5</v>
      </c>
      <c r="BA7" t="str">
        <f t="shared" si="24"/>
        <v xml:space="preserve"> </v>
      </c>
      <c r="BB7">
        <f t="shared" si="25"/>
        <v>5</v>
      </c>
      <c r="BC7">
        <f t="shared" si="26"/>
        <v>4</v>
      </c>
      <c r="BD7">
        <f t="shared" si="27"/>
        <v>5</v>
      </c>
      <c r="BE7">
        <f t="shared" si="28"/>
        <v>4.5</v>
      </c>
      <c r="BF7">
        <f t="shared" si="29"/>
        <v>5</v>
      </c>
      <c r="BG7">
        <f t="shared" si="30"/>
        <v>4.5</v>
      </c>
      <c r="BH7" t="str" cm="1">
        <f t="array" ref="BH7">INDEX({"R","I","A","S","E","C"},MATCH(MAX(BB7:BG7),BB7:BG7,0))</f>
        <v>R</v>
      </c>
    </row>
    <row r="8" spans="1:60" ht="22.5" customHeight="1" x14ac:dyDescent="0.25">
      <c r="A8" s="2">
        <v>7</v>
      </c>
      <c r="B8" s="2">
        <f t="shared" si="31"/>
        <v>3.75</v>
      </c>
      <c r="C8" s="2" t="s">
        <v>27</v>
      </c>
      <c r="D8" s="2" t="s">
        <v>30</v>
      </c>
      <c r="E8" s="2" t="s">
        <v>27</v>
      </c>
      <c r="F8" s="2" t="s">
        <v>29</v>
      </c>
      <c r="G8" s="2" t="s">
        <v>26</v>
      </c>
      <c r="H8" s="2" t="s">
        <v>29</v>
      </c>
      <c r="I8" s="2" t="s">
        <v>27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29</v>
      </c>
      <c r="P8" s="2" t="s">
        <v>28</v>
      </c>
      <c r="Q8" s="2" t="s">
        <v>29</v>
      </c>
      <c r="R8" s="2" t="s">
        <v>29</v>
      </c>
      <c r="S8" s="2" t="s">
        <v>27</v>
      </c>
      <c r="T8" s="2" t="s">
        <v>26</v>
      </c>
      <c r="U8" s="2" t="s">
        <v>26</v>
      </c>
      <c r="V8" s="2" t="s">
        <v>26</v>
      </c>
      <c r="W8" s="2" t="s">
        <v>27</v>
      </c>
      <c r="X8" s="2" t="s">
        <v>26</v>
      </c>
      <c r="Y8" s="2" t="s">
        <v>29</v>
      </c>
      <c r="Z8" s="2" t="s">
        <v>26</v>
      </c>
      <c r="AC8">
        <f t="shared" si="32"/>
        <v>5</v>
      </c>
      <c r="AD8">
        <f t="shared" si="33"/>
        <v>1</v>
      </c>
      <c r="AE8">
        <f t="shared" si="34"/>
        <v>5</v>
      </c>
      <c r="AF8">
        <f t="shared" si="35"/>
        <v>3</v>
      </c>
      <c r="AG8">
        <f t="shared" si="36"/>
        <v>4</v>
      </c>
      <c r="AH8">
        <f t="shared" si="37"/>
        <v>3</v>
      </c>
      <c r="AI8">
        <f t="shared" si="38"/>
        <v>5</v>
      </c>
      <c r="AJ8">
        <f t="shared" si="39"/>
        <v>4</v>
      </c>
      <c r="AK8">
        <f t="shared" si="40"/>
        <v>4</v>
      </c>
      <c r="AL8">
        <f t="shared" si="41"/>
        <v>4</v>
      </c>
      <c r="AM8">
        <f t="shared" si="42"/>
        <v>4</v>
      </c>
      <c r="AN8">
        <f t="shared" si="43"/>
        <v>4</v>
      </c>
      <c r="AO8">
        <f t="shared" si="44"/>
        <v>3</v>
      </c>
      <c r="AP8">
        <f t="shared" si="45"/>
        <v>2</v>
      </c>
      <c r="AQ8">
        <f t="shared" si="46"/>
        <v>3</v>
      </c>
      <c r="AR8">
        <f t="shared" si="47"/>
        <v>3</v>
      </c>
      <c r="AS8">
        <f t="shared" si="48"/>
        <v>5</v>
      </c>
      <c r="AT8">
        <f t="shared" si="49"/>
        <v>4</v>
      </c>
      <c r="AU8">
        <f t="shared" si="50"/>
        <v>4</v>
      </c>
      <c r="AV8">
        <f t="shared" si="51"/>
        <v>4</v>
      </c>
      <c r="AW8">
        <f t="shared" si="52"/>
        <v>5</v>
      </c>
      <c r="AX8">
        <f t="shared" si="53"/>
        <v>4</v>
      </c>
      <c r="AY8">
        <f t="shared" si="54"/>
        <v>3</v>
      </c>
      <c r="AZ8">
        <f t="shared" si="55"/>
        <v>4</v>
      </c>
      <c r="BA8" t="str">
        <f t="shared" si="24"/>
        <v xml:space="preserve"> </v>
      </c>
      <c r="BB8">
        <f t="shared" si="25"/>
        <v>3.5</v>
      </c>
      <c r="BC8">
        <f t="shared" si="26"/>
        <v>4</v>
      </c>
      <c r="BD8">
        <f t="shared" si="27"/>
        <v>4</v>
      </c>
      <c r="BE8">
        <f t="shared" si="28"/>
        <v>2.75</v>
      </c>
      <c r="BF8">
        <f t="shared" si="29"/>
        <v>4.25</v>
      </c>
      <c r="BG8">
        <f t="shared" si="30"/>
        <v>4</v>
      </c>
      <c r="BH8" t="str" cm="1">
        <f t="array" ref="BH8">INDEX({"R","I","A","S","E","C"},MATCH(MAX(BB8:BG8),BB8:BG8,0))</f>
        <v>E</v>
      </c>
    </row>
    <row r="9" spans="1:60" ht="22.5" customHeight="1" x14ac:dyDescent="0.25">
      <c r="A9" s="2">
        <v>8</v>
      </c>
      <c r="B9" s="2">
        <f t="shared" si="31"/>
        <v>5</v>
      </c>
      <c r="C9" s="2" t="s">
        <v>27</v>
      </c>
      <c r="D9" s="2" t="s">
        <v>27</v>
      </c>
      <c r="E9" s="2" t="s">
        <v>27</v>
      </c>
      <c r="F9" s="2" t="s">
        <v>27</v>
      </c>
      <c r="G9" s="2" t="s">
        <v>27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27</v>
      </c>
      <c r="M9" s="2" t="s">
        <v>27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27</v>
      </c>
      <c r="S9" s="2" t="s">
        <v>27</v>
      </c>
      <c r="T9" s="2" t="s">
        <v>27</v>
      </c>
      <c r="U9" s="2" t="s">
        <v>27</v>
      </c>
      <c r="V9" s="2" t="s">
        <v>27</v>
      </c>
      <c r="W9" s="2" t="s">
        <v>27</v>
      </c>
      <c r="X9" s="2" t="s">
        <v>27</v>
      </c>
      <c r="Y9" s="2" t="s">
        <v>27</v>
      </c>
      <c r="Z9" s="2" t="s">
        <v>27</v>
      </c>
      <c r="AC9">
        <f t="shared" si="32"/>
        <v>5</v>
      </c>
      <c r="AD9">
        <f t="shared" si="33"/>
        <v>5</v>
      </c>
      <c r="AE9">
        <f t="shared" si="34"/>
        <v>5</v>
      </c>
      <c r="AF9">
        <f t="shared" si="35"/>
        <v>5</v>
      </c>
      <c r="AG9">
        <f t="shared" si="36"/>
        <v>5</v>
      </c>
      <c r="AH9">
        <f t="shared" si="37"/>
        <v>5</v>
      </c>
      <c r="AI9">
        <f t="shared" si="38"/>
        <v>5</v>
      </c>
      <c r="AJ9">
        <f t="shared" si="39"/>
        <v>5</v>
      </c>
      <c r="AK9">
        <f t="shared" si="40"/>
        <v>5</v>
      </c>
      <c r="AL9">
        <f t="shared" si="41"/>
        <v>5</v>
      </c>
      <c r="AM9">
        <f t="shared" si="42"/>
        <v>5</v>
      </c>
      <c r="AN9">
        <f t="shared" si="43"/>
        <v>5</v>
      </c>
      <c r="AO9">
        <f t="shared" si="44"/>
        <v>5</v>
      </c>
      <c r="AP9">
        <f t="shared" si="45"/>
        <v>5</v>
      </c>
      <c r="AQ9">
        <f t="shared" si="46"/>
        <v>5</v>
      </c>
      <c r="AR9">
        <f t="shared" si="47"/>
        <v>5</v>
      </c>
      <c r="AS9">
        <f t="shared" si="48"/>
        <v>5</v>
      </c>
      <c r="AT9">
        <f t="shared" si="49"/>
        <v>5</v>
      </c>
      <c r="AU9">
        <f t="shared" si="50"/>
        <v>5</v>
      </c>
      <c r="AV9">
        <f t="shared" si="51"/>
        <v>5</v>
      </c>
      <c r="AW9">
        <f t="shared" si="52"/>
        <v>5</v>
      </c>
      <c r="AX9">
        <f t="shared" si="53"/>
        <v>5</v>
      </c>
      <c r="AY9">
        <f t="shared" si="54"/>
        <v>5</v>
      </c>
      <c r="AZ9">
        <f t="shared" si="55"/>
        <v>5</v>
      </c>
      <c r="BA9" t="str">
        <f t="shared" si="24"/>
        <v xml:space="preserve"> </v>
      </c>
      <c r="BB9">
        <f t="shared" si="25"/>
        <v>5</v>
      </c>
      <c r="BC9">
        <f t="shared" si="26"/>
        <v>5</v>
      </c>
      <c r="BD9">
        <f t="shared" si="27"/>
        <v>5</v>
      </c>
      <c r="BE9">
        <f t="shared" si="28"/>
        <v>5</v>
      </c>
      <c r="BF9">
        <f t="shared" si="29"/>
        <v>5</v>
      </c>
      <c r="BG9">
        <f t="shared" si="30"/>
        <v>5</v>
      </c>
      <c r="BH9" t="str" cm="1">
        <f t="array" ref="BH9">INDEX({"R","I","A","S","E","C"},MATCH(MAX(BB9:BG9),BB9:BG9,0))</f>
        <v>R</v>
      </c>
    </row>
    <row r="10" spans="1:60" ht="22.5" customHeight="1" x14ac:dyDescent="0.25">
      <c r="A10" s="2">
        <v>9</v>
      </c>
      <c r="B10" s="2">
        <f t="shared" si="31"/>
        <v>5</v>
      </c>
      <c r="C10" s="2" t="s">
        <v>27</v>
      </c>
      <c r="D10" s="2" t="s">
        <v>27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27</v>
      </c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27</v>
      </c>
      <c r="V10" s="2" t="s">
        <v>27</v>
      </c>
      <c r="W10" s="2" t="s">
        <v>27</v>
      </c>
      <c r="X10" s="2" t="s">
        <v>27</v>
      </c>
      <c r="Y10" s="2" t="s">
        <v>27</v>
      </c>
      <c r="Z10" s="2" t="s">
        <v>27</v>
      </c>
      <c r="AC10">
        <f t="shared" si="32"/>
        <v>5</v>
      </c>
      <c r="AD10">
        <f t="shared" si="33"/>
        <v>5</v>
      </c>
      <c r="AE10">
        <f t="shared" si="34"/>
        <v>5</v>
      </c>
      <c r="AF10">
        <f t="shared" si="35"/>
        <v>5</v>
      </c>
      <c r="AG10">
        <f t="shared" si="36"/>
        <v>5</v>
      </c>
      <c r="AH10">
        <f t="shared" si="37"/>
        <v>5</v>
      </c>
      <c r="AI10">
        <f t="shared" si="38"/>
        <v>5</v>
      </c>
      <c r="AJ10">
        <f t="shared" si="39"/>
        <v>5</v>
      </c>
      <c r="AK10">
        <f t="shared" si="40"/>
        <v>5</v>
      </c>
      <c r="AL10">
        <f t="shared" si="41"/>
        <v>5</v>
      </c>
      <c r="AM10">
        <f t="shared" si="42"/>
        <v>5</v>
      </c>
      <c r="AN10">
        <f t="shared" si="43"/>
        <v>5</v>
      </c>
      <c r="AO10">
        <f t="shared" si="44"/>
        <v>5</v>
      </c>
      <c r="AP10">
        <f t="shared" si="45"/>
        <v>5</v>
      </c>
      <c r="AQ10">
        <f t="shared" si="46"/>
        <v>5</v>
      </c>
      <c r="AR10">
        <f t="shared" si="47"/>
        <v>5</v>
      </c>
      <c r="AS10">
        <f t="shared" si="48"/>
        <v>5</v>
      </c>
      <c r="AT10">
        <f t="shared" si="49"/>
        <v>5</v>
      </c>
      <c r="AU10">
        <f t="shared" si="50"/>
        <v>5</v>
      </c>
      <c r="AV10">
        <f t="shared" si="51"/>
        <v>5</v>
      </c>
      <c r="AW10">
        <f t="shared" si="52"/>
        <v>5</v>
      </c>
      <c r="AX10">
        <f t="shared" si="53"/>
        <v>5</v>
      </c>
      <c r="AY10">
        <f t="shared" si="54"/>
        <v>5</v>
      </c>
      <c r="AZ10">
        <f t="shared" si="55"/>
        <v>5</v>
      </c>
      <c r="BA10" t="str">
        <f t="shared" si="24"/>
        <v xml:space="preserve"> </v>
      </c>
      <c r="BB10">
        <f t="shared" si="25"/>
        <v>5</v>
      </c>
      <c r="BC10">
        <f t="shared" si="26"/>
        <v>5</v>
      </c>
      <c r="BD10">
        <f t="shared" si="27"/>
        <v>5</v>
      </c>
      <c r="BE10">
        <f t="shared" si="28"/>
        <v>5</v>
      </c>
      <c r="BF10">
        <f t="shared" si="29"/>
        <v>5</v>
      </c>
      <c r="BG10">
        <f t="shared" si="30"/>
        <v>5</v>
      </c>
      <c r="BH10" t="str" cm="1">
        <f t="array" ref="BH10">INDEX({"R","I","A","S","E","C"},MATCH(MAX(BB10:BG10),BB10:BG10,0))</f>
        <v>R</v>
      </c>
    </row>
    <row r="11" spans="1:60" ht="22.5" customHeight="1" x14ac:dyDescent="0.25">
      <c r="A11" s="2">
        <v>10</v>
      </c>
      <c r="B11" s="2">
        <f t="shared" si="31"/>
        <v>3.5833333333333335</v>
      </c>
      <c r="C11" s="2" t="s">
        <v>28</v>
      </c>
      <c r="D11" s="2" t="s">
        <v>26</v>
      </c>
      <c r="E11" s="2" t="s">
        <v>26</v>
      </c>
      <c r="F11" s="2" t="s">
        <v>28</v>
      </c>
      <c r="G11" s="2" t="s">
        <v>29</v>
      </c>
      <c r="H11" s="2" t="s">
        <v>27</v>
      </c>
      <c r="I11" s="2" t="s">
        <v>26</v>
      </c>
      <c r="J11" s="2" t="s">
        <v>29</v>
      </c>
      <c r="K11" s="2" t="s">
        <v>27</v>
      </c>
      <c r="L11" s="2" t="s">
        <v>27</v>
      </c>
      <c r="M11" s="2" t="s">
        <v>27</v>
      </c>
      <c r="N11" s="2" t="s">
        <v>26</v>
      </c>
      <c r="O11" s="2" t="s">
        <v>27</v>
      </c>
      <c r="P11" s="2" t="s">
        <v>26</v>
      </c>
      <c r="Q11" s="2" t="s">
        <v>29</v>
      </c>
      <c r="R11" s="2" t="s">
        <v>26</v>
      </c>
      <c r="S11" s="2" t="s">
        <v>28</v>
      </c>
      <c r="T11" s="2" t="s">
        <v>29</v>
      </c>
      <c r="U11" s="2" t="s">
        <v>29</v>
      </c>
      <c r="V11" s="2" t="s">
        <v>29</v>
      </c>
      <c r="W11" s="2" t="s">
        <v>26</v>
      </c>
      <c r="X11" s="2" t="s">
        <v>28</v>
      </c>
      <c r="Y11" s="2" t="s">
        <v>29</v>
      </c>
      <c r="Z11" s="2" t="s">
        <v>26</v>
      </c>
      <c r="AC11">
        <f t="shared" si="32"/>
        <v>2</v>
      </c>
      <c r="AD11">
        <f t="shared" si="33"/>
        <v>4</v>
      </c>
      <c r="AE11">
        <f t="shared" si="34"/>
        <v>4</v>
      </c>
      <c r="AF11">
        <f t="shared" si="35"/>
        <v>2</v>
      </c>
      <c r="AG11">
        <f t="shared" si="36"/>
        <v>3</v>
      </c>
      <c r="AH11">
        <f t="shared" si="37"/>
        <v>5</v>
      </c>
      <c r="AI11">
        <f t="shared" si="38"/>
        <v>4</v>
      </c>
      <c r="AJ11">
        <f t="shared" si="39"/>
        <v>3</v>
      </c>
      <c r="AK11">
        <f t="shared" si="40"/>
        <v>5</v>
      </c>
      <c r="AL11">
        <f t="shared" si="41"/>
        <v>5</v>
      </c>
      <c r="AM11">
        <f t="shared" si="42"/>
        <v>5</v>
      </c>
      <c r="AN11">
        <f t="shared" si="43"/>
        <v>4</v>
      </c>
      <c r="AO11">
        <f t="shared" si="44"/>
        <v>5</v>
      </c>
      <c r="AP11">
        <f t="shared" si="45"/>
        <v>4</v>
      </c>
      <c r="AQ11">
        <f t="shared" si="46"/>
        <v>3</v>
      </c>
      <c r="AR11">
        <f t="shared" si="47"/>
        <v>4</v>
      </c>
      <c r="AS11">
        <f t="shared" si="48"/>
        <v>2</v>
      </c>
      <c r="AT11">
        <f t="shared" si="49"/>
        <v>3</v>
      </c>
      <c r="AU11">
        <f t="shared" si="50"/>
        <v>3</v>
      </c>
      <c r="AV11">
        <f t="shared" si="51"/>
        <v>3</v>
      </c>
      <c r="AW11">
        <f t="shared" si="52"/>
        <v>4</v>
      </c>
      <c r="AX11">
        <f t="shared" si="53"/>
        <v>2</v>
      </c>
      <c r="AY11">
        <f t="shared" si="54"/>
        <v>3</v>
      </c>
      <c r="AZ11">
        <f t="shared" si="55"/>
        <v>4</v>
      </c>
      <c r="BA11" t="str">
        <f t="shared" si="24"/>
        <v xml:space="preserve"> </v>
      </c>
      <c r="BB11">
        <f t="shared" si="25"/>
        <v>3</v>
      </c>
      <c r="BC11">
        <f t="shared" si="26"/>
        <v>3.75</v>
      </c>
      <c r="BD11">
        <f t="shared" si="27"/>
        <v>4.75</v>
      </c>
      <c r="BE11">
        <f t="shared" si="28"/>
        <v>4</v>
      </c>
      <c r="BF11">
        <f t="shared" si="29"/>
        <v>2.75</v>
      </c>
      <c r="BG11">
        <f t="shared" si="30"/>
        <v>3.25</v>
      </c>
      <c r="BH11" t="str" cm="1">
        <f t="array" ref="BH11">INDEX({"R","I","A","S","E","C"},MATCH(MAX(BB11:BG11),BB11:BG11,0))</f>
        <v>A</v>
      </c>
    </row>
  </sheetData>
  <phoneticPr fontId="3" type="noConversion"/>
  <dataValidations count="1">
    <dataValidation type="custom" allowBlank="1" showDropDown="1" sqref="A2:A11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3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2" width="18.88671875" customWidth="1"/>
    <col min="3" max="4" width="37.6640625" customWidth="1"/>
    <col min="5" max="5" width="22.6640625" customWidth="1"/>
    <col min="6" max="6" width="37.6640625" customWidth="1"/>
    <col min="7" max="7" width="29.88671875" customWidth="1"/>
    <col min="8" max="8" width="37.6640625" customWidth="1"/>
    <col min="9" max="9" width="36.33203125" customWidth="1"/>
    <col min="10" max="10" width="33.6640625" customWidth="1"/>
    <col min="11" max="12" width="37.6640625" customWidth="1"/>
    <col min="13" max="13" width="23.44140625" customWidth="1"/>
    <col min="14" max="14" width="35.33203125" customWidth="1"/>
    <col min="15" max="15" width="36.33203125" customWidth="1"/>
    <col min="16" max="17" width="37.6640625" customWidth="1"/>
    <col min="18" max="46" width="18.88671875" customWidth="1"/>
  </cols>
  <sheetData>
    <row r="1" spans="1:40" ht="22.5" customHeight="1" x14ac:dyDescent="0.25">
      <c r="A1" s="1" t="s">
        <v>31</v>
      </c>
      <c r="B1" s="1" t="s">
        <v>32</v>
      </c>
      <c r="C1" s="1" t="s">
        <v>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1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3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</row>
    <row r="2" spans="1:40" ht="22.5" customHeight="1" x14ac:dyDescent="0.2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22.5" customHeight="1" x14ac:dyDescent="0.25">
      <c r="A3" s="4"/>
      <c r="B3" s="2"/>
    </row>
    <row r="4" spans="1:40" ht="22.5" customHeight="1" x14ac:dyDescent="0.25">
      <c r="A4" s="4"/>
      <c r="B4" s="2"/>
    </row>
    <row r="5" spans="1:40" ht="22.5" customHeight="1" x14ac:dyDescent="0.25">
      <c r="A5" s="4"/>
      <c r="B5" s="2"/>
    </row>
    <row r="6" spans="1:40" ht="22.5" customHeight="1" x14ac:dyDescent="0.25">
      <c r="A6" s="4"/>
      <c r="B6" s="2"/>
    </row>
    <row r="7" spans="1:40" ht="22.5" customHeight="1" x14ac:dyDescent="0.25">
      <c r="A7" s="4"/>
      <c r="B7" s="2"/>
    </row>
    <row r="8" spans="1:40" ht="22.5" customHeight="1" x14ac:dyDescent="0.25">
      <c r="A8" s="4"/>
      <c r="B8" s="2"/>
    </row>
    <row r="9" spans="1:40" ht="22.5" customHeight="1" x14ac:dyDescent="0.25">
      <c r="A9" s="4"/>
      <c r="B9" s="2"/>
    </row>
    <row r="10" spans="1:40" ht="22.5" customHeight="1" x14ac:dyDescent="0.25">
      <c r="A10" s="4"/>
      <c r="B10" s="2"/>
    </row>
    <row r="11" spans="1:40" ht="22.5" customHeight="1" x14ac:dyDescent="0.25">
      <c r="A11" s="4"/>
      <c r="B11" s="2"/>
    </row>
    <row r="12" spans="1:40" ht="22.5" customHeight="1" x14ac:dyDescent="0.25">
      <c r="A12" s="4"/>
      <c r="B12" s="2"/>
    </row>
    <row r="13" spans="1:40" ht="22.5" customHeight="1" x14ac:dyDescent="0.25">
      <c r="A13" s="4"/>
      <c r="B13" s="2"/>
    </row>
    <row r="14" spans="1:40" ht="22.5" customHeight="1" x14ac:dyDescent="0.25">
      <c r="A14" s="4"/>
      <c r="B14" s="2"/>
    </row>
    <row r="15" spans="1:40" ht="22.5" customHeight="1" x14ac:dyDescent="0.25">
      <c r="A15" s="4"/>
      <c r="B15" s="2"/>
    </row>
    <row r="16" spans="1:40" ht="22.5" customHeight="1" x14ac:dyDescent="0.25">
      <c r="A16" s="4"/>
      <c r="B16" s="2"/>
    </row>
    <row r="17" spans="1:40" ht="22.5" customHeight="1" x14ac:dyDescent="0.25">
      <c r="A17" s="4"/>
      <c r="B17" s="2"/>
    </row>
    <row r="18" spans="1:40" ht="22.5" customHeight="1" x14ac:dyDescent="0.25">
      <c r="A18" s="4"/>
      <c r="B18" s="2"/>
    </row>
    <row r="19" spans="1:40" ht="22.5" customHeight="1" x14ac:dyDescent="0.25">
      <c r="A19" s="4"/>
      <c r="B19" s="2"/>
    </row>
    <row r="20" spans="1:40" ht="22.5" customHeight="1" x14ac:dyDescent="0.25">
      <c r="A20" s="4"/>
      <c r="B20" s="2"/>
    </row>
    <row r="21" spans="1:40" ht="22.5" customHeight="1" x14ac:dyDescent="0.25">
      <c r="A21" s="4"/>
      <c r="B21" s="2"/>
    </row>
    <row r="22" spans="1:40" ht="22.5" customHeight="1" x14ac:dyDescent="0.25">
      <c r="A22" s="4"/>
      <c r="B22" s="2"/>
    </row>
    <row r="23" spans="1:40" ht="22.5" customHeight="1" x14ac:dyDescent="0.25">
      <c r="A23" s="4"/>
      <c r="B23" s="2"/>
    </row>
    <row r="24" spans="1:40" ht="22.5" customHeight="1" x14ac:dyDescent="0.25">
      <c r="A24" s="4"/>
      <c r="B24" s="2"/>
    </row>
    <row r="25" spans="1:40" ht="22.5" customHeight="1" x14ac:dyDescent="0.25">
      <c r="A25" s="4"/>
      <c r="B25" s="2"/>
    </row>
    <row r="26" spans="1:40" ht="22.5" customHeight="1" x14ac:dyDescent="0.25">
      <c r="A26" s="4"/>
      <c r="B26" s="2"/>
    </row>
    <row r="27" spans="1:40" ht="22.5" customHeight="1" x14ac:dyDescent="0.25">
      <c r="A27" s="4"/>
      <c r="B27" s="2"/>
    </row>
    <row r="28" spans="1:40" ht="22.5" customHeight="1" x14ac:dyDescent="0.25">
      <c r="A28" s="4"/>
      <c r="B28" s="2"/>
    </row>
    <row r="29" spans="1:40" ht="22.5" customHeight="1" x14ac:dyDescent="0.25">
      <c r="A29" s="4"/>
      <c r="B29" s="2"/>
    </row>
    <row r="30" spans="1:40" ht="22.5" customHeight="1" x14ac:dyDescent="0.25">
      <c r="A30" s="4">
        <v>46104.668591273148</v>
      </c>
      <c r="B30" s="2">
        <v>0</v>
      </c>
      <c r="C30" s="2" t="s">
        <v>26</v>
      </c>
      <c r="R30" s="2" t="s">
        <v>27</v>
      </c>
      <c r="S30" s="2" t="s">
        <v>29</v>
      </c>
      <c r="T30" s="2" t="s">
        <v>29</v>
      </c>
      <c r="U30" s="2" t="s">
        <v>29</v>
      </c>
      <c r="V30" s="2" t="s">
        <v>26</v>
      </c>
      <c r="W30" s="2" t="s">
        <v>29</v>
      </c>
      <c r="X30" s="2" t="s">
        <v>29</v>
      </c>
      <c r="Y30" s="2" t="s">
        <v>27</v>
      </c>
      <c r="Z30" s="2" t="s">
        <v>27</v>
      </c>
      <c r="AA30" s="2" t="s">
        <v>27</v>
      </c>
      <c r="AB30" s="2" t="s">
        <v>27</v>
      </c>
      <c r="AC30" s="2" t="s">
        <v>26</v>
      </c>
      <c r="AD30" s="2" t="s">
        <v>29</v>
      </c>
      <c r="AE30" s="2" t="s">
        <v>26</v>
      </c>
      <c r="AF30" s="2" t="s">
        <v>26</v>
      </c>
      <c r="AG30" s="2" t="s">
        <v>29</v>
      </c>
      <c r="AH30" s="2" t="s">
        <v>29</v>
      </c>
      <c r="AI30" s="2" t="s">
        <v>26</v>
      </c>
      <c r="AJ30" s="2" t="s">
        <v>29</v>
      </c>
      <c r="AK30" s="2" t="s">
        <v>26</v>
      </c>
      <c r="AL30" s="2" t="s">
        <v>29</v>
      </c>
      <c r="AM30" s="2" t="s">
        <v>26</v>
      </c>
      <c r="AN30" s="2" t="s">
        <v>26</v>
      </c>
    </row>
    <row r="31" spans="1:40" ht="22.5" customHeight="1" x14ac:dyDescent="0.25">
      <c r="A31" s="4">
        <v>46104.669075462967</v>
      </c>
      <c r="B31" s="2">
        <v>0</v>
      </c>
      <c r="C31" s="2" t="s">
        <v>27</v>
      </c>
      <c r="R31" s="2" t="s">
        <v>27</v>
      </c>
      <c r="S31" s="2" t="s">
        <v>28</v>
      </c>
      <c r="T31" s="2" t="s">
        <v>27</v>
      </c>
      <c r="U31" s="2" t="s">
        <v>29</v>
      </c>
      <c r="V31" s="2" t="s">
        <v>28</v>
      </c>
      <c r="W31" s="2" t="s">
        <v>27</v>
      </c>
      <c r="X31" s="2" t="s">
        <v>26</v>
      </c>
      <c r="Y31" s="2" t="s">
        <v>26</v>
      </c>
      <c r="Z31" s="2" t="s">
        <v>27</v>
      </c>
      <c r="AA31" s="2" t="s">
        <v>27</v>
      </c>
      <c r="AB31" s="2" t="s">
        <v>27</v>
      </c>
      <c r="AC31" s="2" t="s">
        <v>27</v>
      </c>
      <c r="AD31" s="2" t="s">
        <v>27</v>
      </c>
      <c r="AE31" s="2" t="s">
        <v>26</v>
      </c>
      <c r="AF31" s="2" t="s">
        <v>26</v>
      </c>
      <c r="AG31" s="2" t="s">
        <v>26</v>
      </c>
      <c r="AH31" s="2" t="s">
        <v>27</v>
      </c>
      <c r="AI31" s="2" t="s">
        <v>29</v>
      </c>
      <c r="AJ31" s="2" t="s">
        <v>28</v>
      </c>
      <c r="AK31" s="2" t="s">
        <v>27</v>
      </c>
      <c r="AL31" s="2" t="s">
        <v>29</v>
      </c>
      <c r="AM31" s="2" t="s">
        <v>27</v>
      </c>
      <c r="AN31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2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 Chikhale</dc:creator>
  <cp:lastModifiedBy>Esha Chikhale</cp:lastModifiedBy>
  <cp:lastPrinted>2026-04-10T02:07:18Z</cp:lastPrinted>
  <dcterms:created xsi:type="dcterms:W3CDTF">2026-03-31T18:41:07Z</dcterms:created>
  <dcterms:modified xsi:type="dcterms:W3CDTF">2026-04-10T02:07:29Z</dcterms:modified>
</cp:coreProperties>
</file>